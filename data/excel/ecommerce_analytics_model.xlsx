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leaned_Sales" sheetId="2" state="visible" r:id="rId2"/>
    <sheet name="Dim_Customers" sheetId="3" state="visible" r:id="rId3"/>
    <sheet name="Data_Cleaning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i val="1"/>
      <color rgb="0064748B"/>
      <sz val="11"/>
    </font>
    <font>
      <name val="Calibri"/>
      <b val="1"/>
      <color rgb="0064748B"/>
      <sz val="9"/>
    </font>
    <font>
      <name val="Calibri"/>
      <b val="1"/>
      <color rgb="001E293B"/>
      <sz val="18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1" pivotButton="0" quotePrefix="0" xfId="0"/>
    <xf numFmtId="3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3" borderId="0" pivotButton="0" quotePrefix="0" xfId="0"/>
    <xf numFmtId="0" fontId="7" fillId="0" borderId="0" pivotButton="0" quotePrefix="0" xfId="0"/>
    <xf numFmtId="3" fontId="7" fillId="0" borderId="0" pivotButton="0" quotePrefix="0" xfId="0"/>
    <xf numFmtId="164" fontId="7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E-COMMERCE SALES &amp; CUSTOMER PERFORMANCE MODEL</t>
        </is>
      </c>
    </row>
    <row r="2">
      <c r="A2" s="2" t="inlineStr">
        <is>
          <t>Dataset: 50 Transactions | Validated: 48 Orders | Currency: INR (₹)</t>
        </is>
      </c>
    </row>
    <row r="4">
      <c r="B4" s="3" t="inlineStr">
        <is>
          <t>TOTAL REVENUE (₹)</t>
        </is>
      </c>
      <c r="D4" s="3" t="inlineStr">
        <is>
          <t>TOTAL ORDERS</t>
        </is>
      </c>
      <c r="F4" s="3" t="inlineStr">
        <is>
          <t>AVERAGE ORDER VALUE (₹)</t>
        </is>
      </c>
      <c r="H4" s="3" t="inlineStr">
        <is>
          <t>TOTAL UNITS SOLD</t>
        </is>
      </c>
    </row>
    <row r="5">
      <c r="B5" s="4">
        <f>SUM(Cleaned_Sales!K2:K50)</f>
        <v/>
      </c>
      <c r="D5" s="5">
        <f>COUNTA(Cleaned_Sales!A2:A50)</f>
        <v/>
      </c>
      <c r="F5" s="4">
        <f>AVERAGE(Cleaned_Sales!K2:K50)</f>
        <v/>
      </c>
      <c r="H5" s="5">
        <f>SUM(Cleaned_Sales!G2:G50)</f>
        <v/>
      </c>
    </row>
    <row r="8">
      <c r="A8" s="6" t="inlineStr">
        <is>
          <t>Category Breakdown (Formulas: COUNTIFS, SUMIFS, IF)</t>
        </is>
      </c>
    </row>
    <row r="9">
      <c r="A9" s="7" t="inlineStr">
        <is>
          <t>Category</t>
        </is>
      </c>
      <c r="B9" s="7" t="inlineStr">
        <is>
          <t>Orders (COUNTIFS)</t>
        </is>
      </c>
      <c r="C9" s="7" t="inlineStr">
        <is>
          <t>Revenue (SUMIFS)</t>
        </is>
      </c>
      <c r="D9" s="7" t="inlineStr">
        <is>
          <t>Revenue Share %</t>
        </is>
      </c>
      <c r="E9" s="7" t="inlineStr">
        <is>
          <t>Performance Status</t>
        </is>
      </c>
    </row>
    <row r="10">
      <c r="A10" s="8" t="inlineStr">
        <is>
          <t>Clothing</t>
        </is>
      </c>
      <c r="B10" s="9">
        <f>COUNTIFS(Cleaned_Sales!E:E, A10)</f>
        <v/>
      </c>
      <c r="C10" s="10">
        <f>SUMIFS(Cleaned_Sales!K:K, Cleaned_Sales!E:E, A10)</f>
        <v/>
      </c>
      <c r="D10" s="11">
        <f>C10/$B$5</f>
        <v/>
      </c>
      <c r="E10" s="8">
        <f>IF(C10&gt;500000, "High Revenue", "Moderate")</f>
        <v/>
      </c>
    </row>
    <row r="11">
      <c r="A11" s="8" t="inlineStr">
        <is>
          <t>Electronics</t>
        </is>
      </c>
      <c r="B11" s="9">
        <f>COUNTIFS(Cleaned_Sales!E:E, A11)</f>
        <v/>
      </c>
      <c r="C11" s="10">
        <f>SUMIFS(Cleaned_Sales!K:K, Cleaned_Sales!E:E, A11)</f>
        <v/>
      </c>
      <c r="D11" s="11">
        <f>C11/$B$5</f>
        <v/>
      </c>
      <c r="E11" s="8">
        <f>IF(C11&gt;500000, "High Revenue", "Moderate")</f>
        <v/>
      </c>
    </row>
    <row r="12">
      <c r="A12" s="8" t="inlineStr">
        <is>
          <t>Furniture</t>
        </is>
      </c>
      <c r="B12" s="9">
        <f>COUNTIFS(Cleaned_Sales!E:E, A12)</f>
        <v/>
      </c>
      <c r="C12" s="10">
        <f>SUMIFS(Cleaned_Sales!K:K, Cleaned_Sales!E:E, A12)</f>
        <v/>
      </c>
      <c r="D12" s="11">
        <f>C12/$B$5</f>
        <v/>
      </c>
      <c r="E12" s="8">
        <f>IF(C12&gt;500000, "High Revenue", "Moderate")</f>
        <v/>
      </c>
    </row>
    <row r="16">
      <c r="A16" s="6" t="inlineStr">
        <is>
          <t>Regional Sales Breakdown (SUMIFS, COUNTIFS, IFERROR)</t>
        </is>
      </c>
    </row>
    <row r="17">
      <c r="A17" s="7" t="inlineStr">
        <is>
          <t>Region</t>
        </is>
      </c>
      <c r="B17" s="7" t="inlineStr">
        <is>
          <t>Orders</t>
        </is>
      </c>
      <c r="C17" s="7" t="inlineStr">
        <is>
          <t>Revenue (₹)</t>
        </is>
      </c>
      <c r="D17" s="7" t="inlineStr">
        <is>
          <t>Regional AOV (₹)</t>
        </is>
      </c>
      <c r="E17" s="7" t="inlineStr">
        <is>
          <t>Target Status</t>
        </is>
      </c>
    </row>
    <row r="18">
      <c r="A18" s="8" t="inlineStr">
        <is>
          <t>East</t>
        </is>
      </c>
      <c r="B18" s="9">
        <f>COUNTIFS(Cleaned_Sales!D:D, A18)</f>
        <v/>
      </c>
      <c r="C18" s="10">
        <f>SUMIFS(Cleaned_Sales!K:K, Cleaned_Sales!D:D, A18)</f>
        <v/>
      </c>
      <c r="D18" s="10">
        <f>IFERROR(C18/B18, 0)</f>
        <v/>
      </c>
      <c r="E18" s="8">
        <f>IF(C18&gt;250000, "Top Market", "Developing")</f>
        <v/>
      </c>
    </row>
    <row r="19">
      <c r="A19" s="8" t="inlineStr">
        <is>
          <t>North</t>
        </is>
      </c>
      <c r="B19" s="9">
        <f>COUNTIFS(Cleaned_Sales!D:D, A19)</f>
        <v/>
      </c>
      <c r="C19" s="10">
        <f>SUMIFS(Cleaned_Sales!K:K, Cleaned_Sales!D:D, A19)</f>
        <v/>
      </c>
      <c r="D19" s="10">
        <f>IFERROR(C19/B19, 0)</f>
        <v/>
      </c>
      <c r="E19" s="8">
        <f>IF(C19&gt;250000, "Top Market", "Developing")</f>
        <v/>
      </c>
    </row>
    <row r="20">
      <c r="A20" s="8" t="inlineStr">
        <is>
          <t>South</t>
        </is>
      </c>
      <c r="B20" s="9">
        <f>COUNTIFS(Cleaned_Sales!D:D, A20)</f>
        <v/>
      </c>
      <c r="C20" s="10">
        <f>SUMIFS(Cleaned_Sales!K:K, Cleaned_Sales!D:D, A20)</f>
        <v/>
      </c>
      <c r="D20" s="10">
        <f>IFERROR(C20/B20, 0)</f>
        <v/>
      </c>
      <c r="E20" s="8">
        <f>IF(C20&gt;250000, "Top Market", "Developing")</f>
        <v/>
      </c>
    </row>
    <row r="21">
      <c r="A21" s="8" t="inlineStr">
        <is>
          <t>West</t>
        </is>
      </c>
      <c r="B21" s="9">
        <f>COUNTIFS(Cleaned_Sales!D:D, A21)</f>
        <v/>
      </c>
      <c r="C21" s="10">
        <f>SUMIFS(Cleaned_Sales!K:K, Cleaned_Sales!D:D, A21)</f>
        <v/>
      </c>
      <c r="D21" s="10">
        <f>IFERROR(C21/B21, 0)</f>
        <v/>
      </c>
      <c r="E21" s="8">
        <f>IF(C21&gt;250000, "Top Market", "Developing")</f>
        <v/>
      </c>
    </row>
    <row r="24">
      <c r="A24" s="6" t="inlineStr">
        <is>
          <t>Customer 360 Lookup (XLOOKUP &amp; IFERROR)</t>
        </is>
      </c>
    </row>
    <row r="25">
      <c r="A25" s="6" t="inlineStr">
        <is>
          <t>Select Customer Name:</t>
        </is>
      </c>
      <c r="B25" s="12" t="inlineStr">
        <is>
          <t>Aarav</t>
        </is>
      </c>
    </row>
    <row r="27">
      <c r="A27" s="6" t="inlineStr">
        <is>
          <t>Assigned Region</t>
        </is>
      </c>
      <c r="B27" s="13">
        <f>IFERROR(XLOOKUP(B25, Dim_Customers!A:A, Dim_Customers!B:B, "Not Found"), "Error")</f>
        <v/>
      </c>
    </row>
    <row r="28">
      <c r="A28" s="6" t="inlineStr">
        <is>
          <t>Total Orders Placed</t>
        </is>
      </c>
      <c r="B28" s="14">
        <f>IFERROR(XLOOKUP(B25, Dim_Customers!A:A, Dim_Customers!C:C, 0), 0)</f>
        <v/>
      </c>
    </row>
    <row r="29">
      <c r="A29" s="6" t="inlineStr">
        <is>
          <t>Total Spend (₹)</t>
        </is>
      </c>
      <c r="B29" s="15">
        <f>IFERROR(XLOOKUP(B25, Dim_Customers!A:A, Dim_Customers!E:E, 0), 0)</f>
        <v/>
      </c>
    </row>
    <row r="30">
      <c r="A30" s="6" t="inlineStr">
        <is>
          <t>Average Order Value (₹)</t>
        </is>
      </c>
      <c r="B30" s="15">
        <f>IFERROR(XLOOKUP(B25, Dim_Customers!A:A, Dim_Customers!F:F, 0),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6" t="inlineStr">
        <is>
          <t>Order_ID</t>
        </is>
      </c>
      <c r="B1" s="16" t="inlineStr">
        <is>
          <t>Order_Date</t>
        </is>
      </c>
      <c r="C1" s="16" t="inlineStr">
        <is>
          <t>Customer</t>
        </is>
      </c>
      <c r="D1" s="16" t="inlineStr">
        <is>
          <t>Region</t>
        </is>
      </c>
      <c r="E1" s="16" t="inlineStr">
        <is>
          <t>Category</t>
        </is>
      </c>
      <c r="F1" s="16" t="inlineStr">
        <is>
          <t>Product</t>
        </is>
      </c>
      <c r="G1" s="16" t="inlineStr">
        <is>
          <t>Quantity</t>
        </is>
      </c>
      <c r="H1" s="16" t="inlineStr">
        <is>
          <t>Unit_Price</t>
        </is>
      </c>
      <c r="I1" s="16" t="inlineStr">
        <is>
          <t>Discount</t>
        </is>
      </c>
      <c r="J1" s="16" t="inlineStr">
        <is>
          <t>Payment_Status</t>
        </is>
      </c>
      <c r="K1" s="16" t="inlineStr">
        <is>
          <t>Revenue</t>
        </is>
      </c>
    </row>
    <row r="2">
      <c r="A2" t="inlineStr">
        <is>
          <t>ORD2001</t>
        </is>
      </c>
      <c r="B2" t="inlineStr">
        <is>
          <t>2026-01-02</t>
        </is>
      </c>
      <c r="C2" t="inlineStr">
        <is>
          <t>Aarav</t>
        </is>
      </c>
      <c r="D2" t="inlineStr">
        <is>
          <t>North</t>
        </is>
      </c>
      <c r="E2" t="inlineStr">
        <is>
          <t>Electronics</t>
        </is>
      </c>
      <c r="F2" t="inlineStr">
        <is>
          <t>Laptop</t>
        </is>
      </c>
      <c r="G2" s="17" t="n">
        <v>2</v>
      </c>
      <c r="H2" s="18" t="n">
        <v>55000</v>
      </c>
      <c r="I2" s="19" t="n">
        <v>0.1</v>
      </c>
      <c r="J2" t="inlineStr">
        <is>
          <t>Paid</t>
        </is>
      </c>
      <c r="K2" s="18" t="n">
        <v>99000</v>
      </c>
    </row>
    <row r="3">
      <c r="A3" t="inlineStr">
        <is>
          <t>ORD2002</t>
        </is>
      </c>
      <c r="B3" t="inlineStr">
        <is>
          <t>2026-01-03</t>
        </is>
      </c>
      <c r="C3" t="inlineStr">
        <is>
          <t>Diya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s="17" t="n">
        <v>3</v>
      </c>
      <c r="H3" s="18" t="n">
        <v>4200</v>
      </c>
      <c r="I3" s="19" t="n">
        <v>0.05</v>
      </c>
      <c r="J3" t="inlineStr">
        <is>
          <t>Paid</t>
        </is>
      </c>
      <c r="K3" s="18" t="n">
        <v>11970</v>
      </c>
    </row>
    <row r="4">
      <c r="A4" t="inlineStr">
        <is>
          <t>ORD2003</t>
        </is>
      </c>
      <c r="B4" t="inlineStr">
        <is>
          <t>2026-01-04</t>
        </is>
      </c>
      <c r="C4" t="inlineStr">
        <is>
          <t>Rohan</t>
        </is>
      </c>
      <c r="D4" t="inlineStr">
        <is>
          <t>West</t>
        </is>
      </c>
      <c r="E4" t="inlineStr">
        <is>
          <t>Furniture</t>
        </is>
      </c>
      <c r="F4" t="inlineStr">
        <is>
          <t>Chair</t>
        </is>
      </c>
      <c r="G4" s="17" t="n">
        <v>5</v>
      </c>
      <c r="H4" s="18" t="n">
        <v>3200</v>
      </c>
      <c r="I4" s="19" t="n">
        <v>0</v>
      </c>
      <c r="J4" t="inlineStr">
        <is>
          <t>Paid</t>
        </is>
      </c>
      <c r="K4" s="18" t="n">
        <v>16000</v>
      </c>
    </row>
    <row r="5">
      <c r="A5" t="inlineStr">
        <is>
          <t>ORD2004</t>
        </is>
      </c>
      <c r="B5" t="inlineStr">
        <is>
          <t>2026-01-05</t>
        </is>
      </c>
      <c r="C5" t="inlineStr">
        <is>
          <t>Meera</t>
        </is>
      </c>
      <c r="D5" t="inlineStr">
        <is>
          <t>East</t>
        </is>
      </c>
      <c r="E5" t="inlineStr">
        <is>
          <t>Electronics</t>
        </is>
      </c>
      <c r="F5" t="inlineStr">
        <is>
          <t>Headphones</t>
        </is>
      </c>
      <c r="G5" s="17" t="n">
        <v>4</v>
      </c>
      <c r="H5" s="18" t="n">
        <v>2500</v>
      </c>
      <c r="I5" s="19" t="n">
        <v>0.15</v>
      </c>
      <c r="J5" t="inlineStr">
        <is>
          <t>Pending</t>
        </is>
      </c>
      <c r="K5" s="18" t="n">
        <v>8500</v>
      </c>
    </row>
    <row r="6">
      <c r="A6" t="inlineStr">
        <is>
          <t>ORD2005</t>
        </is>
      </c>
      <c r="B6" t="inlineStr">
        <is>
          <t>2026-01-06</t>
        </is>
      </c>
      <c r="C6" t="inlineStr">
        <is>
          <t>Kabir</t>
        </is>
      </c>
      <c r="D6" t="inlineStr">
        <is>
          <t>North</t>
        </is>
      </c>
      <c r="E6" t="inlineStr">
        <is>
          <t>Furniture</t>
        </is>
      </c>
      <c r="F6" t="inlineStr">
        <is>
          <t>Table</t>
        </is>
      </c>
      <c r="G6" s="17" t="n">
        <v>2</v>
      </c>
      <c r="H6" s="18" t="n">
        <v>8500</v>
      </c>
      <c r="I6" s="19" t="n">
        <v>0.1</v>
      </c>
      <c r="J6" t="inlineStr">
        <is>
          <t>Paid</t>
        </is>
      </c>
      <c r="K6" s="18" t="n">
        <v>15300</v>
      </c>
    </row>
    <row r="7">
      <c r="A7" t="inlineStr">
        <is>
          <t>ORD2006</t>
        </is>
      </c>
      <c r="B7" t="inlineStr">
        <is>
          <t>2026-01-07</t>
        </is>
      </c>
      <c r="C7" t="inlineStr">
        <is>
          <t>Isha</t>
        </is>
      </c>
      <c r="D7" t="inlineStr">
        <is>
          <t>South</t>
        </is>
      </c>
      <c r="E7" t="inlineStr">
        <is>
          <t>Electronics</t>
        </is>
      </c>
      <c r="F7" t="inlineStr">
        <is>
          <t>Phone</t>
        </is>
      </c>
      <c r="G7" s="17" t="n">
        <v>3</v>
      </c>
      <c r="H7" s="18" t="n">
        <v>28000</v>
      </c>
      <c r="I7" s="19" t="n">
        <v>0.05</v>
      </c>
      <c r="J7" t="inlineStr">
        <is>
          <t>Paid</t>
        </is>
      </c>
      <c r="K7" s="18" t="n">
        <v>79800</v>
      </c>
    </row>
    <row r="8">
      <c r="A8" t="inlineStr">
        <is>
          <t>ORD2007</t>
        </is>
      </c>
      <c r="B8" t="inlineStr">
        <is>
          <t>2026-01-08</t>
        </is>
      </c>
      <c r="C8" t="inlineStr">
        <is>
          <t>Arjun</t>
        </is>
      </c>
      <c r="D8" t="inlineStr">
        <is>
          <t>West</t>
        </is>
      </c>
      <c r="E8" t="inlineStr">
        <is>
          <t>Clothing</t>
        </is>
      </c>
      <c r="F8" t="inlineStr">
        <is>
          <t>Shoes</t>
        </is>
      </c>
      <c r="G8" s="17" t="n">
        <v>2</v>
      </c>
      <c r="H8" s="18" t="n">
        <v>3500</v>
      </c>
      <c r="I8" s="19" t="n">
        <v>0.2</v>
      </c>
      <c r="J8" t="inlineStr">
        <is>
          <t>Paid</t>
        </is>
      </c>
      <c r="K8" s="18" t="n">
        <v>5600</v>
      </c>
    </row>
    <row r="9">
      <c r="A9" t="inlineStr">
        <is>
          <t>ORD2008</t>
        </is>
      </c>
      <c r="B9" t="inlineStr">
        <is>
          <t>2026-01-09</t>
        </is>
      </c>
      <c r="C9" t="inlineStr">
        <is>
          <t>Sanya</t>
        </is>
      </c>
      <c r="D9" t="inlineStr">
        <is>
          <t>East</t>
        </is>
      </c>
      <c r="E9" t="inlineStr">
        <is>
          <t>Electronics</t>
        </is>
      </c>
      <c r="F9" t="inlineStr">
        <is>
          <t>Tablet</t>
        </is>
      </c>
      <c r="G9" s="17" t="n">
        <v>1</v>
      </c>
      <c r="H9" s="18" t="n">
        <v>22000</v>
      </c>
      <c r="I9" s="19" t="n">
        <v>0.1</v>
      </c>
      <c r="J9" t="inlineStr">
        <is>
          <t>Paid</t>
        </is>
      </c>
      <c r="K9" s="18" t="n">
        <v>19800</v>
      </c>
    </row>
    <row r="10">
      <c r="A10" t="inlineStr">
        <is>
          <t>ORD2009</t>
        </is>
      </c>
      <c r="B10" t="inlineStr">
        <is>
          <t>2026-01-10</t>
        </is>
      </c>
      <c r="C10" t="inlineStr">
        <is>
          <t>Aarav</t>
        </is>
      </c>
      <c r="D10" t="inlineStr">
        <is>
          <t>North</t>
        </is>
      </c>
      <c r="E10" t="inlineStr">
        <is>
          <t>Electronics</t>
        </is>
      </c>
      <c r="F10" t="inlineStr">
        <is>
          <t>Laptop</t>
        </is>
      </c>
      <c r="G10" s="17" t="n">
        <v>1</v>
      </c>
      <c r="H10" s="18" t="n">
        <v>55000</v>
      </c>
      <c r="I10" s="19" t="n">
        <v>0.05</v>
      </c>
      <c r="J10" t="inlineStr">
        <is>
          <t>Paid</t>
        </is>
      </c>
      <c r="K10" s="18" t="n">
        <v>52250</v>
      </c>
    </row>
    <row r="11">
      <c r="A11" t="inlineStr">
        <is>
          <t>ORD2010</t>
        </is>
      </c>
      <c r="B11" t="inlineStr">
        <is>
          <t>2026-01-11</t>
        </is>
      </c>
      <c r="C11" t="inlineStr">
        <is>
          <t>Diya</t>
        </is>
      </c>
      <c r="D11" t="inlineStr">
        <is>
          <t>South</t>
        </is>
      </c>
      <c r="E11" t="inlineStr">
        <is>
          <t>Clothing</t>
        </is>
      </c>
      <c r="F11" t="inlineStr">
        <is>
          <t>Jacket</t>
        </is>
      </c>
      <c r="G11" s="17" t="n">
        <v>4</v>
      </c>
      <c r="H11" s="18" t="n">
        <v>4200</v>
      </c>
      <c r="I11" s="19" t="n">
        <v>0.1</v>
      </c>
      <c r="J11" t="inlineStr">
        <is>
          <t>Failed</t>
        </is>
      </c>
      <c r="K11" s="18" t="n">
        <v>15120</v>
      </c>
    </row>
    <row r="12">
      <c r="A12" t="inlineStr">
        <is>
          <t>ORD2011</t>
        </is>
      </c>
      <c r="B12" t="inlineStr">
        <is>
          <t>2026-01-12</t>
        </is>
      </c>
      <c r="C12" t="inlineStr">
        <is>
          <t>Rohan</t>
        </is>
      </c>
      <c r="D12" t="inlineStr">
        <is>
          <t>West</t>
        </is>
      </c>
      <c r="E12" t="inlineStr">
        <is>
          <t>Furniture</t>
        </is>
      </c>
      <c r="F12" t="inlineStr">
        <is>
          <t>Chair</t>
        </is>
      </c>
      <c r="G12" s="17" t="n">
        <v>3</v>
      </c>
      <c r="H12" s="18" t="n">
        <v>3200</v>
      </c>
      <c r="I12" s="19" t="n">
        <v>0.05</v>
      </c>
      <c r="J12" t="inlineStr">
        <is>
          <t>Paid</t>
        </is>
      </c>
      <c r="K12" s="18" t="n">
        <v>9120</v>
      </c>
    </row>
    <row r="13">
      <c r="A13" t="inlineStr">
        <is>
          <t>ORD2012</t>
        </is>
      </c>
      <c r="B13" t="inlineStr">
        <is>
          <t>2026-01-13</t>
        </is>
      </c>
      <c r="C13" t="inlineStr">
        <is>
          <t>Meera</t>
        </is>
      </c>
      <c r="D13" t="inlineStr">
        <is>
          <t>East</t>
        </is>
      </c>
      <c r="E13" t="inlineStr">
        <is>
          <t>Electronics</t>
        </is>
      </c>
      <c r="F13" t="inlineStr">
        <is>
          <t>Headphones</t>
        </is>
      </c>
      <c r="G13" s="17" t="n">
        <v>5</v>
      </c>
      <c r="H13" s="18" t="n">
        <v>2500</v>
      </c>
      <c r="I13" s="19" t="n">
        <v>0</v>
      </c>
      <c r="J13" t="inlineStr">
        <is>
          <t>Paid</t>
        </is>
      </c>
      <c r="K13" s="18" t="n">
        <v>12500</v>
      </c>
    </row>
    <row r="14">
      <c r="A14" t="inlineStr">
        <is>
          <t>ORD2013</t>
        </is>
      </c>
      <c r="B14" t="inlineStr">
        <is>
          <t>2026-01-14</t>
        </is>
      </c>
      <c r="C14" t="inlineStr">
        <is>
          <t>Kabir</t>
        </is>
      </c>
      <c r="D14" t="inlineStr">
        <is>
          <t>North</t>
        </is>
      </c>
      <c r="E14" t="inlineStr">
        <is>
          <t>Furniture</t>
        </is>
      </c>
      <c r="F14" t="inlineStr">
        <is>
          <t>Table</t>
        </is>
      </c>
      <c r="G14" s="17" t="n">
        <v>1</v>
      </c>
      <c r="H14" s="18" t="n">
        <v>8500</v>
      </c>
      <c r="I14" s="19" t="n">
        <v>0.15</v>
      </c>
      <c r="J14" t="inlineStr">
        <is>
          <t>Paid</t>
        </is>
      </c>
      <c r="K14" s="18" t="n">
        <v>7225</v>
      </c>
    </row>
    <row r="15">
      <c r="A15" t="inlineStr">
        <is>
          <t>ORD2014</t>
        </is>
      </c>
      <c r="B15" t="inlineStr">
        <is>
          <t>2026-01-15</t>
        </is>
      </c>
      <c r="C15" t="inlineStr">
        <is>
          <t>Isha</t>
        </is>
      </c>
      <c r="D15" t="inlineStr">
        <is>
          <t>South</t>
        </is>
      </c>
      <c r="E15" t="inlineStr">
        <is>
          <t>Electronics</t>
        </is>
      </c>
      <c r="F15" t="inlineStr">
        <is>
          <t>Phone</t>
        </is>
      </c>
      <c r="G15" s="17" t="n">
        <v>2</v>
      </c>
      <c r="H15" s="18" t="n">
        <v>28000</v>
      </c>
      <c r="I15" s="19" t="n">
        <v>0.1</v>
      </c>
      <c r="J15" t="inlineStr">
        <is>
          <t>Paid</t>
        </is>
      </c>
      <c r="K15" s="18" t="n">
        <v>50400</v>
      </c>
    </row>
    <row r="16">
      <c r="A16" t="inlineStr">
        <is>
          <t>ORD2015</t>
        </is>
      </c>
      <c r="B16" t="inlineStr">
        <is>
          <t>2026-01-16</t>
        </is>
      </c>
      <c r="C16" t="inlineStr">
        <is>
          <t>Arjun</t>
        </is>
      </c>
      <c r="D16" t="inlineStr">
        <is>
          <t>West</t>
        </is>
      </c>
      <c r="E16" t="inlineStr">
        <is>
          <t>Clothing</t>
        </is>
      </c>
      <c r="F16" t="inlineStr">
        <is>
          <t>Shoes</t>
        </is>
      </c>
      <c r="G16" s="17" t="n">
        <v>4</v>
      </c>
      <c r="H16" s="18" t="n">
        <v>3500</v>
      </c>
      <c r="I16" s="19" t="n">
        <v>0.05</v>
      </c>
      <c r="J16" t="inlineStr">
        <is>
          <t>Paid</t>
        </is>
      </c>
      <c r="K16" s="18" t="n">
        <v>13300</v>
      </c>
    </row>
    <row r="17">
      <c r="A17" t="inlineStr">
        <is>
          <t>ORD2016</t>
        </is>
      </c>
      <c r="B17" t="inlineStr">
        <is>
          <t>2026-01-17</t>
        </is>
      </c>
      <c r="C17" t="inlineStr">
        <is>
          <t>Sanya</t>
        </is>
      </c>
      <c r="D17" t="inlineStr">
        <is>
          <t>East</t>
        </is>
      </c>
      <c r="E17" t="inlineStr">
        <is>
          <t>Electronics</t>
        </is>
      </c>
      <c r="F17" t="inlineStr">
        <is>
          <t>Tablet</t>
        </is>
      </c>
      <c r="G17" s="17" t="n">
        <v>2</v>
      </c>
      <c r="H17" s="18" t="n">
        <v>22000</v>
      </c>
      <c r="I17" s="19" t="n">
        <v>0.1</v>
      </c>
      <c r="J17" t="inlineStr">
        <is>
          <t>Paid</t>
        </is>
      </c>
      <c r="K17" s="18" t="n">
        <v>39600</v>
      </c>
    </row>
    <row r="18">
      <c r="A18" t="inlineStr">
        <is>
          <t>ORD2017</t>
        </is>
      </c>
      <c r="B18" t="inlineStr">
        <is>
          <t>2026-01-18</t>
        </is>
      </c>
      <c r="C18" t="inlineStr">
        <is>
          <t>Aarav</t>
        </is>
      </c>
      <c r="D18" t="inlineStr">
        <is>
          <t>North</t>
        </is>
      </c>
      <c r="E18" t="inlineStr">
        <is>
          <t>Electronics</t>
        </is>
      </c>
      <c r="F18" t="inlineStr">
        <is>
          <t>Laptop</t>
        </is>
      </c>
      <c r="G18" s="17" t="n">
        <v>3</v>
      </c>
      <c r="H18" s="18" t="n">
        <v>55000</v>
      </c>
      <c r="I18" s="19" t="n">
        <v>0.15</v>
      </c>
      <c r="J18" t="inlineStr">
        <is>
          <t>Paid</t>
        </is>
      </c>
      <c r="K18" s="18" t="n">
        <v>140250</v>
      </c>
    </row>
    <row r="19">
      <c r="A19" t="inlineStr">
        <is>
          <t>ORD2018</t>
        </is>
      </c>
      <c r="B19" t="inlineStr">
        <is>
          <t>2026-01-19</t>
        </is>
      </c>
      <c r="C19" t="inlineStr">
        <is>
          <t>Diya</t>
        </is>
      </c>
      <c r="D19" t="inlineStr">
        <is>
          <t>South</t>
        </is>
      </c>
      <c r="E19" t="inlineStr">
        <is>
          <t>Clothing</t>
        </is>
      </c>
      <c r="F19" t="inlineStr">
        <is>
          <t>Jacket</t>
        </is>
      </c>
      <c r="G19" s="17" t="n">
        <v>2</v>
      </c>
      <c r="H19" s="18" t="n">
        <v>4200</v>
      </c>
      <c r="I19" s="19" t="n">
        <v>0</v>
      </c>
      <c r="J19" t="inlineStr">
        <is>
          <t>Paid</t>
        </is>
      </c>
      <c r="K19" s="18" t="n">
        <v>8400</v>
      </c>
    </row>
    <row r="20">
      <c r="A20" t="inlineStr">
        <is>
          <t>ORD2019</t>
        </is>
      </c>
      <c r="B20" t="inlineStr">
        <is>
          <t>2026-01-20</t>
        </is>
      </c>
      <c r="C20" t="inlineStr">
        <is>
          <t>Rohan</t>
        </is>
      </c>
      <c r="D20" t="inlineStr">
        <is>
          <t>West</t>
        </is>
      </c>
      <c r="E20" t="inlineStr">
        <is>
          <t>Furniture</t>
        </is>
      </c>
      <c r="F20" t="inlineStr">
        <is>
          <t>Chair</t>
        </is>
      </c>
      <c r="G20" s="17" t="n">
        <v>6</v>
      </c>
      <c r="H20" s="18" t="n">
        <v>3200</v>
      </c>
      <c r="I20" s="19" t="n">
        <v>0.1</v>
      </c>
      <c r="J20" t="inlineStr">
        <is>
          <t>Paid</t>
        </is>
      </c>
      <c r="K20" s="18" t="n">
        <v>17280</v>
      </c>
    </row>
    <row r="21">
      <c r="A21" t="inlineStr">
        <is>
          <t>ORD2020</t>
        </is>
      </c>
      <c r="B21" t="inlineStr">
        <is>
          <t>2026-01-21</t>
        </is>
      </c>
      <c r="C21" t="inlineStr">
        <is>
          <t>Meera</t>
        </is>
      </c>
      <c r="D21" t="inlineStr">
        <is>
          <t>East</t>
        </is>
      </c>
      <c r="E21" t="inlineStr">
        <is>
          <t>Electronics</t>
        </is>
      </c>
      <c r="F21" t="inlineStr">
        <is>
          <t>Headphones</t>
        </is>
      </c>
      <c r="G21" s="17" t="n">
        <v>2</v>
      </c>
      <c r="H21" s="18" t="n">
        <v>2500</v>
      </c>
      <c r="I21" s="19" t="n">
        <v>0.05</v>
      </c>
      <c r="J21" t="inlineStr">
        <is>
          <t>Paid</t>
        </is>
      </c>
      <c r="K21" s="18" t="n">
        <v>4750</v>
      </c>
    </row>
    <row r="22">
      <c r="A22" t="inlineStr">
        <is>
          <t>ORD2021</t>
        </is>
      </c>
      <c r="B22" t="inlineStr">
        <is>
          <t>2026-01-22</t>
        </is>
      </c>
      <c r="C22" t="inlineStr">
        <is>
          <t>Kabir</t>
        </is>
      </c>
      <c r="D22" t="inlineStr">
        <is>
          <t>North</t>
        </is>
      </c>
      <c r="E22" t="inlineStr">
        <is>
          <t>Furniture</t>
        </is>
      </c>
      <c r="F22" t="inlineStr">
        <is>
          <t>Table</t>
        </is>
      </c>
      <c r="G22" s="17" t="n">
        <v>3</v>
      </c>
      <c r="H22" s="18" t="n">
        <v>8500</v>
      </c>
      <c r="I22" s="19" t="n">
        <v>0.2</v>
      </c>
      <c r="J22" t="inlineStr">
        <is>
          <t>Paid</t>
        </is>
      </c>
      <c r="K22" s="18" t="n">
        <v>20400</v>
      </c>
    </row>
    <row r="23">
      <c r="A23" t="inlineStr">
        <is>
          <t>ORD2022</t>
        </is>
      </c>
      <c r="B23" t="inlineStr">
        <is>
          <t>2026-01-23</t>
        </is>
      </c>
      <c r="C23" t="inlineStr">
        <is>
          <t>Isha</t>
        </is>
      </c>
      <c r="D23" t="inlineStr">
        <is>
          <t>South</t>
        </is>
      </c>
      <c r="E23" t="inlineStr">
        <is>
          <t>Electronics</t>
        </is>
      </c>
      <c r="F23" t="inlineStr">
        <is>
          <t>Phone</t>
        </is>
      </c>
      <c r="G23" s="17" t="n">
        <v>1</v>
      </c>
      <c r="H23" s="18" t="n">
        <v>28000</v>
      </c>
      <c r="I23" s="19" t="n">
        <v>0.05</v>
      </c>
      <c r="J23" t="inlineStr">
        <is>
          <t>Pending</t>
        </is>
      </c>
      <c r="K23" s="18" t="n">
        <v>26600</v>
      </c>
    </row>
    <row r="24">
      <c r="A24" t="inlineStr">
        <is>
          <t>ORD2023</t>
        </is>
      </c>
      <c r="B24" t="inlineStr">
        <is>
          <t>2026-01-24</t>
        </is>
      </c>
      <c r="C24" t="inlineStr">
        <is>
          <t>Arjun</t>
        </is>
      </c>
      <c r="D24" t="inlineStr">
        <is>
          <t>West</t>
        </is>
      </c>
      <c r="E24" t="inlineStr">
        <is>
          <t>Clothing</t>
        </is>
      </c>
      <c r="F24" t="inlineStr">
        <is>
          <t>Shoes</t>
        </is>
      </c>
      <c r="G24" s="17" t="n">
        <v>3</v>
      </c>
      <c r="H24" s="18" t="n">
        <v>3500</v>
      </c>
      <c r="I24" s="19" t="n">
        <v>0.1</v>
      </c>
      <c r="J24" t="inlineStr">
        <is>
          <t>Paid</t>
        </is>
      </c>
      <c r="K24" s="18" t="n">
        <v>9450</v>
      </c>
    </row>
    <row r="25">
      <c r="A25" t="inlineStr">
        <is>
          <t>ORD2024</t>
        </is>
      </c>
      <c r="B25" t="inlineStr">
        <is>
          <t>2026-01-25</t>
        </is>
      </c>
      <c r="C25" t="inlineStr">
        <is>
          <t>Sanya</t>
        </is>
      </c>
      <c r="D25" t="inlineStr">
        <is>
          <t>East</t>
        </is>
      </c>
      <c r="E25" t="inlineStr">
        <is>
          <t>Electronics</t>
        </is>
      </c>
      <c r="F25" t="inlineStr">
        <is>
          <t>Tablet</t>
        </is>
      </c>
      <c r="G25" s="17" t="n">
        <v>4</v>
      </c>
      <c r="H25" s="18" t="n">
        <v>22000</v>
      </c>
      <c r="I25" s="19" t="n">
        <v>0.15</v>
      </c>
      <c r="J25" t="inlineStr">
        <is>
          <t>Paid</t>
        </is>
      </c>
      <c r="K25" s="18" t="n">
        <v>74800</v>
      </c>
    </row>
    <row r="26">
      <c r="A26" t="inlineStr">
        <is>
          <t>ORD2025</t>
        </is>
      </c>
      <c r="B26" t="inlineStr">
        <is>
          <t>2026-01-26</t>
        </is>
      </c>
      <c r="C26" t="inlineStr">
        <is>
          <t>Aarav</t>
        </is>
      </c>
      <c r="D26" t="inlineStr">
        <is>
          <t>North</t>
        </is>
      </c>
      <c r="E26" t="inlineStr">
        <is>
          <t>Electronics</t>
        </is>
      </c>
      <c r="F26" t="inlineStr">
        <is>
          <t>Laptop</t>
        </is>
      </c>
      <c r="G26" s="17" t="n">
        <v>2</v>
      </c>
      <c r="H26" s="18" t="n">
        <v>55000</v>
      </c>
      <c r="I26" s="19" t="n">
        <v>0.1</v>
      </c>
      <c r="J26" t="inlineStr">
        <is>
          <t>Paid</t>
        </is>
      </c>
      <c r="K26" s="18" t="n">
        <v>99000</v>
      </c>
    </row>
    <row r="27">
      <c r="A27" t="inlineStr">
        <is>
          <t>ORD2026</t>
        </is>
      </c>
      <c r="B27" t="inlineStr">
        <is>
          <t>2026-01-27</t>
        </is>
      </c>
      <c r="C27" t="inlineStr">
        <is>
          <t>Diya</t>
        </is>
      </c>
      <c r="D27" t="inlineStr">
        <is>
          <t>South</t>
        </is>
      </c>
      <c r="E27" t="inlineStr">
        <is>
          <t>Clothing</t>
        </is>
      </c>
      <c r="F27" t="inlineStr">
        <is>
          <t>Jacket</t>
        </is>
      </c>
      <c r="G27" s="17" t="n">
        <v>1</v>
      </c>
      <c r="H27" s="18" t="n">
        <v>4200</v>
      </c>
      <c r="I27" s="19" t="n">
        <v>0.05</v>
      </c>
      <c r="J27" t="inlineStr">
        <is>
          <t>Paid</t>
        </is>
      </c>
      <c r="K27" s="18" t="n">
        <v>3990</v>
      </c>
    </row>
    <row r="28">
      <c r="A28" t="inlineStr">
        <is>
          <t>ORD2027</t>
        </is>
      </c>
      <c r="B28" t="inlineStr">
        <is>
          <t>2026-01-28</t>
        </is>
      </c>
      <c r="C28" t="inlineStr">
        <is>
          <t>Rohan</t>
        </is>
      </c>
      <c r="D28" t="inlineStr">
        <is>
          <t>West</t>
        </is>
      </c>
      <c r="E28" t="inlineStr">
        <is>
          <t>Furniture</t>
        </is>
      </c>
      <c r="F28" t="inlineStr">
        <is>
          <t>Chair</t>
        </is>
      </c>
      <c r="G28" s="17" t="n">
        <v>2</v>
      </c>
      <c r="H28" s="18" t="n">
        <v>3200</v>
      </c>
      <c r="I28" s="19" t="n">
        <v>0</v>
      </c>
      <c r="J28" t="inlineStr">
        <is>
          <t>Paid</t>
        </is>
      </c>
      <c r="K28" s="18" t="n">
        <v>6400</v>
      </c>
    </row>
    <row r="29">
      <c r="A29" t="inlineStr">
        <is>
          <t>ORD2028</t>
        </is>
      </c>
      <c r="B29" t="inlineStr">
        <is>
          <t>2026-01-29</t>
        </is>
      </c>
      <c r="C29" t="inlineStr">
        <is>
          <t>Meera</t>
        </is>
      </c>
      <c r="D29" t="inlineStr">
        <is>
          <t>East</t>
        </is>
      </c>
      <c r="E29" t="inlineStr">
        <is>
          <t>Electronics</t>
        </is>
      </c>
      <c r="F29" t="inlineStr">
        <is>
          <t>Headphones</t>
        </is>
      </c>
      <c r="G29" s="17" t="n">
        <v>3</v>
      </c>
      <c r="H29" s="18" t="n">
        <v>2500</v>
      </c>
      <c r="I29" s="19" t="n">
        <v>0.1</v>
      </c>
      <c r="J29" t="inlineStr">
        <is>
          <t>Paid</t>
        </is>
      </c>
      <c r="K29" s="18" t="n">
        <v>6750</v>
      </c>
    </row>
    <row r="30">
      <c r="A30" t="inlineStr">
        <is>
          <t>ORD2029</t>
        </is>
      </c>
      <c r="B30" t="inlineStr">
        <is>
          <t>2026-01-30</t>
        </is>
      </c>
      <c r="C30" t="inlineStr">
        <is>
          <t>Kabir</t>
        </is>
      </c>
      <c r="D30" t="inlineStr">
        <is>
          <t>North</t>
        </is>
      </c>
      <c r="E30" t="inlineStr">
        <is>
          <t>Furniture</t>
        </is>
      </c>
      <c r="F30" t="inlineStr">
        <is>
          <t>Table</t>
        </is>
      </c>
      <c r="G30" s="17" t="n">
        <v>2</v>
      </c>
      <c r="H30" s="18" t="n">
        <v>8500</v>
      </c>
      <c r="I30" s="19" t="n">
        <v>0.05</v>
      </c>
      <c r="J30" t="inlineStr">
        <is>
          <t>Paid</t>
        </is>
      </c>
      <c r="K30" s="18" t="n">
        <v>16150</v>
      </c>
    </row>
    <row r="31">
      <c r="A31" t="inlineStr">
        <is>
          <t>ORD2030</t>
        </is>
      </c>
      <c r="B31" t="inlineStr">
        <is>
          <t>2026-01-31</t>
        </is>
      </c>
      <c r="C31" t="inlineStr">
        <is>
          <t>Isha</t>
        </is>
      </c>
      <c r="D31" t="inlineStr">
        <is>
          <t>South</t>
        </is>
      </c>
      <c r="E31" t="inlineStr">
        <is>
          <t>Electronics</t>
        </is>
      </c>
      <c r="F31" t="inlineStr">
        <is>
          <t>Phone</t>
        </is>
      </c>
      <c r="G31" s="17" t="n">
        <v>2</v>
      </c>
      <c r="H31" s="18" t="n">
        <v>28000</v>
      </c>
      <c r="I31" s="19" t="n">
        <v>0.15</v>
      </c>
      <c r="J31" t="inlineStr">
        <is>
          <t>Paid</t>
        </is>
      </c>
      <c r="K31" s="18" t="n">
        <v>47600</v>
      </c>
    </row>
    <row r="32">
      <c r="A32" t="inlineStr">
        <is>
          <t>ORD2031</t>
        </is>
      </c>
      <c r="B32" t="inlineStr">
        <is>
          <t>2026-02-02</t>
        </is>
      </c>
      <c r="C32" t="inlineStr">
        <is>
          <t>Arjun</t>
        </is>
      </c>
      <c r="D32" t="inlineStr">
        <is>
          <t>West</t>
        </is>
      </c>
      <c r="E32" t="inlineStr">
        <is>
          <t>Clothing</t>
        </is>
      </c>
      <c r="F32" t="inlineStr">
        <is>
          <t>Shoes</t>
        </is>
      </c>
      <c r="G32" s="17" t="n">
        <v>5</v>
      </c>
      <c r="H32" s="18" t="n">
        <v>3500</v>
      </c>
      <c r="I32" s="19" t="n">
        <v>0.2</v>
      </c>
      <c r="J32" t="inlineStr">
        <is>
          <t>Paid</t>
        </is>
      </c>
      <c r="K32" s="18" t="n">
        <v>14000</v>
      </c>
    </row>
    <row r="33">
      <c r="A33" t="inlineStr">
        <is>
          <t>ORD2032</t>
        </is>
      </c>
      <c r="B33" t="inlineStr">
        <is>
          <t>2026-02-03</t>
        </is>
      </c>
      <c r="C33" t="inlineStr">
        <is>
          <t>Sanya</t>
        </is>
      </c>
      <c r="D33" t="inlineStr">
        <is>
          <t>East</t>
        </is>
      </c>
      <c r="E33" t="inlineStr">
        <is>
          <t>Electronics</t>
        </is>
      </c>
      <c r="F33" t="inlineStr">
        <is>
          <t>Tablet</t>
        </is>
      </c>
      <c r="G33" s="17" t="n">
        <v>1</v>
      </c>
      <c r="H33" s="18" t="n">
        <v>22000</v>
      </c>
      <c r="I33" s="19" t="n">
        <v>0</v>
      </c>
      <c r="J33" t="inlineStr">
        <is>
          <t>Paid</t>
        </is>
      </c>
      <c r="K33" s="18" t="n">
        <v>22000</v>
      </c>
    </row>
    <row r="34">
      <c r="A34" t="inlineStr">
        <is>
          <t>ORD2033</t>
        </is>
      </c>
      <c r="B34" t="inlineStr">
        <is>
          <t>2026-02-04</t>
        </is>
      </c>
      <c r="C34" t="inlineStr">
        <is>
          <t>Aarav</t>
        </is>
      </c>
      <c r="D34" t="inlineStr">
        <is>
          <t>North</t>
        </is>
      </c>
      <c r="E34" t="inlineStr">
        <is>
          <t>Electronics</t>
        </is>
      </c>
      <c r="F34" t="inlineStr">
        <is>
          <t>Laptop</t>
        </is>
      </c>
      <c r="G34" s="17" t="n">
        <v>2</v>
      </c>
      <c r="H34" s="18" t="n">
        <v>55000</v>
      </c>
      <c r="I34" s="19" t="n">
        <v>0.1</v>
      </c>
      <c r="J34" t="inlineStr">
        <is>
          <t>Paid</t>
        </is>
      </c>
      <c r="K34" s="18" t="n">
        <v>99000</v>
      </c>
    </row>
    <row r="35">
      <c r="A35" t="inlineStr">
        <is>
          <t>ORD2034</t>
        </is>
      </c>
      <c r="B35" t="inlineStr">
        <is>
          <t>2026-02-05</t>
        </is>
      </c>
      <c r="C35" t="inlineStr">
        <is>
          <t>Diya</t>
        </is>
      </c>
      <c r="D35" t="inlineStr">
        <is>
          <t>South</t>
        </is>
      </c>
      <c r="E35" t="inlineStr">
        <is>
          <t>Clothing</t>
        </is>
      </c>
      <c r="F35" t="inlineStr">
        <is>
          <t>Jacket</t>
        </is>
      </c>
      <c r="G35" s="17" t="n">
        <v>3</v>
      </c>
      <c r="H35" s="18" t="n">
        <v>4200</v>
      </c>
      <c r="I35" s="19" t="n">
        <v>0.05</v>
      </c>
      <c r="J35" t="inlineStr">
        <is>
          <t>Paid</t>
        </is>
      </c>
      <c r="K35" s="18" t="n">
        <v>11970</v>
      </c>
    </row>
    <row r="36">
      <c r="A36" t="inlineStr">
        <is>
          <t>ORD2035</t>
        </is>
      </c>
      <c r="B36" t="inlineStr">
        <is>
          <t>2026-02-06</t>
        </is>
      </c>
      <c r="C36" t="inlineStr">
        <is>
          <t>Rohan</t>
        </is>
      </c>
      <c r="D36" t="inlineStr">
        <is>
          <t>West</t>
        </is>
      </c>
      <c r="E36" t="inlineStr">
        <is>
          <t>Furniture</t>
        </is>
      </c>
      <c r="F36" t="inlineStr">
        <is>
          <t>Chair</t>
        </is>
      </c>
      <c r="G36" s="17" t="n">
        <v>4</v>
      </c>
      <c r="H36" s="18" t="n">
        <v>3200</v>
      </c>
      <c r="I36" s="19" t="n">
        <v>0.1</v>
      </c>
      <c r="J36" t="inlineStr">
        <is>
          <t>Paid</t>
        </is>
      </c>
      <c r="K36" s="18" t="n">
        <v>11520</v>
      </c>
    </row>
    <row r="37">
      <c r="A37" t="inlineStr">
        <is>
          <t>ORD2036</t>
        </is>
      </c>
      <c r="B37" t="inlineStr">
        <is>
          <t>2026-02-07</t>
        </is>
      </c>
      <c r="C37" t="inlineStr">
        <is>
          <t>Meera</t>
        </is>
      </c>
      <c r="D37" t="inlineStr">
        <is>
          <t>East</t>
        </is>
      </c>
      <c r="E37" t="inlineStr">
        <is>
          <t>Electronics</t>
        </is>
      </c>
      <c r="F37" t="inlineStr">
        <is>
          <t>Headphones</t>
        </is>
      </c>
      <c r="G37" s="17" t="n">
        <v>2</v>
      </c>
      <c r="H37" s="18" t="n">
        <v>2500</v>
      </c>
      <c r="I37" s="19" t="n">
        <v>0.05</v>
      </c>
      <c r="J37" t="inlineStr">
        <is>
          <t>Paid</t>
        </is>
      </c>
      <c r="K37" s="18" t="n">
        <v>4750</v>
      </c>
    </row>
    <row r="38">
      <c r="A38" t="inlineStr">
        <is>
          <t>ORD2037</t>
        </is>
      </c>
      <c r="B38" t="inlineStr">
        <is>
          <t>2026-02-08</t>
        </is>
      </c>
      <c r="C38" t="inlineStr">
        <is>
          <t>Kabir</t>
        </is>
      </c>
      <c r="D38" t="inlineStr">
        <is>
          <t>North</t>
        </is>
      </c>
      <c r="E38" t="inlineStr">
        <is>
          <t>Furniture</t>
        </is>
      </c>
      <c r="F38" t="inlineStr">
        <is>
          <t>Table</t>
        </is>
      </c>
      <c r="G38" s="17" t="n">
        <v>1</v>
      </c>
      <c r="H38" s="18" t="n">
        <v>8500</v>
      </c>
      <c r="I38" s="19" t="n">
        <v>0</v>
      </c>
      <c r="J38" t="inlineStr">
        <is>
          <t>Paid</t>
        </is>
      </c>
      <c r="K38" s="18" t="n">
        <v>8500</v>
      </c>
    </row>
    <row r="39">
      <c r="A39" t="inlineStr">
        <is>
          <t>ORD2038</t>
        </is>
      </c>
      <c r="B39" t="inlineStr">
        <is>
          <t>2026-02-09</t>
        </is>
      </c>
      <c r="C39" t="inlineStr">
        <is>
          <t>Isha</t>
        </is>
      </c>
      <c r="D39" t="inlineStr">
        <is>
          <t>South</t>
        </is>
      </c>
      <c r="E39" t="inlineStr">
        <is>
          <t>Electronics</t>
        </is>
      </c>
      <c r="F39" t="inlineStr">
        <is>
          <t>Phone</t>
        </is>
      </c>
      <c r="G39" s="17" t="n">
        <v>3</v>
      </c>
      <c r="H39" s="18" t="n">
        <v>28000</v>
      </c>
      <c r="I39" s="19" t="n">
        <v>0.1</v>
      </c>
      <c r="J39" t="inlineStr">
        <is>
          <t>Paid</t>
        </is>
      </c>
      <c r="K39" s="18" t="n">
        <v>75600</v>
      </c>
    </row>
    <row r="40">
      <c r="A40" t="inlineStr">
        <is>
          <t>ORD2039</t>
        </is>
      </c>
      <c r="B40" t="inlineStr">
        <is>
          <t>2026-02-10</t>
        </is>
      </c>
      <c r="C40" t="inlineStr">
        <is>
          <t>Arjun</t>
        </is>
      </c>
      <c r="D40" t="inlineStr">
        <is>
          <t>West</t>
        </is>
      </c>
      <c r="E40" t="inlineStr">
        <is>
          <t>Clothing</t>
        </is>
      </c>
      <c r="F40" t="inlineStr">
        <is>
          <t>Shoes</t>
        </is>
      </c>
      <c r="G40" s="17" t="n">
        <v>2</v>
      </c>
      <c r="H40" s="18" t="n">
        <v>3500</v>
      </c>
      <c r="I40" s="19" t="n">
        <v>0.05</v>
      </c>
      <c r="J40" t="inlineStr">
        <is>
          <t>Paid</t>
        </is>
      </c>
      <c r="K40" s="18" t="n">
        <v>6650</v>
      </c>
    </row>
    <row r="41">
      <c r="A41" t="inlineStr">
        <is>
          <t>ORD2040</t>
        </is>
      </c>
      <c r="B41" t="inlineStr">
        <is>
          <t>2026-02-11</t>
        </is>
      </c>
      <c r="C41" t="inlineStr">
        <is>
          <t>Sanya</t>
        </is>
      </c>
      <c r="D41" t="inlineStr">
        <is>
          <t>East</t>
        </is>
      </c>
      <c r="E41" t="inlineStr">
        <is>
          <t>Electronics</t>
        </is>
      </c>
      <c r="F41" t="inlineStr">
        <is>
          <t>Tablet</t>
        </is>
      </c>
      <c r="G41" s="17" t="n">
        <v>3</v>
      </c>
      <c r="H41" s="18" t="n">
        <v>22000</v>
      </c>
      <c r="I41" s="19" t="n">
        <v>0.15</v>
      </c>
      <c r="J41" t="inlineStr">
        <is>
          <t>Paid</t>
        </is>
      </c>
      <c r="K41" s="18" t="n">
        <v>56100</v>
      </c>
    </row>
    <row r="42">
      <c r="A42" t="inlineStr">
        <is>
          <t>ORD2042</t>
        </is>
      </c>
      <c r="B42" t="inlineStr">
        <is>
          <t>2026-02-13</t>
        </is>
      </c>
      <c r="C42" t="inlineStr">
        <is>
          <t>Diya</t>
        </is>
      </c>
      <c r="D42" t="inlineStr">
        <is>
          <t>South</t>
        </is>
      </c>
      <c r="E42" t="inlineStr">
        <is>
          <t>Clothing</t>
        </is>
      </c>
      <c r="F42" t="inlineStr">
        <is>
          <t>Jacket</t>
        </is>
      </c>
      <c r="G42" s="17" t="n">
        <v>2</v>
      </c>
      <c r="H42" s="18" t="n">
        <v>4200</v>
      </c>
      <c r="I42" s="19" t="n">
        <v>0.05</v>
      </c>
      <c r="J42" t="inlineStr">
        <is>
          <t>Paid</t>
        </is>
      </c>
      <c r="K42" s="18" t="n">
        <v>7980</v>
      </c>
    </row>
    <row r="43">
      <c r="A43" t="inlineStr">
        <is>
          <t>ORD2043</t>
        </is>
      </c>
      <c r="B43" t="inlineStr">
        <is>
          <t>2026-02-14</t>
        </is>
      </c>
      <c r="C43" t="inlineStr">
        <is>
          <t>Rohan</t>
        </is>
      </c>
      <c r="D43" t="inlineStr">
        <is>
          <t>West</t>
        </is>
      </c>
      <c r="E43" t="inlineStr">
        <is>
          <t>Furniture</t>
        </is>
      </c>
      <c r="F43" t="inlineStr">
        <is>
          <t>Chair</t>
        </is>
      </c>
      <c r="G43" s="17" t="n">
        <v>3</v>
      </c>
      <c r="H43" s="18" t="n">
        <v>3200</v>
      </c>
      <c r="I43" s="19" t="n">
        <v>0</v>
      </c>
      <c r="J43" t="inlineStr">
        <is>
          <t>Paid</t>
        </is>
      </c>
      <c r="K43" s="18" t="n">
        <v>9600</v>
      </c>
    </row>
    <row r="44">
      <c r="A44" t="inlineStr">
        <is>
          <t>ORD2045</t>
        </is>
      </c>
      <c r="B44" t="inlineStr">
        <is>
          <t>2026-02-16</t>
        </is>
      </c>
      <c r="C44" t="inlineStr">
        <is>
          <t>Kabir</t>
        </is>
      </c>
      <c r="D44" t="inlineStr">
        <is>
          <t>North</t>
        </is>
      </c>
      <c r="E44" t="inlineStr">
        <is>
          <t>Furniture</t>
        </is>
      </c>
      <c r="F44" t="inlineStr">
        <is>
          <t>Table</t>
        </is>
      </c>
      <c r="G44" s="17" t="n">
        <v>2</v>
      </c>
      <c r="H44" s="18" t="n">
        <v>8500</v>
      </c>
      <c r="I44" s="19" t="n">
        <v>0.05</v>
      </c>
      <c r="J44" t="inlineStr">
        <is>
          <t>Paid</t>
        </is>
      </c>
      <c r="K44" s="18" t="n">
        <v>16150</v>
      </c>
    </row>
    <row r="45">
      <c r="A45" t="inlineStr">
        <is>
          <t>ORD2046</t>
        </is>
      </c>
      <c r="B45" t="inlineStr">
        <is>
          <t>2026-02-17</t>
        </is>
      </c>
      <c r="C45" t="inlineStr">
        <is>
          <t>Isha</t>
        </is>
      </c>
      <c r="D45" t="inlineStr">
        <is>
          <t>South</t>
        </is>
      </c>
      <c r="E45" t="inlineStr">
        <is>
          <t>Electronics</t>
        </is>
      </c>
      <c r="F45" t="inlineStr">
        <is>
          <t>Phone</t>
        </is>
      </c>
      <c r="G45" s="17" t="n">
        <v>2</v>
      </c>
      <c r="H45" s="18" t="n">
        <v>28000</v>
      </c>
      <c r="I45" s="19" t="n">
        <v>0.05</v>
      </c>
      <c r="J45" t="inlineStr">
        <is>
          <t>Paid</t>
        </is>
      </c>
      <c r="K45" s="18" t="n">
        <v>53200</v>
      </c>
    </row>
    <row r="46">
      <c r="A46" t="inlineStr">
        <is>
          <t>ORD2047</t>
        </is>
      </c>
      <c r="B46" t="inlineStr">
        <is>
          <t>2026-02-18</t>
        </is>
      </c>
      <c r="C46" t="inlineStr">
        <is>
          <t>Arjun</t>
        </is>
      </c>
      <c r="D46" t="inlineStr">
        <is>
          <t>West</t>
        </is>
      </c>
      <c r="E46" t="inlineStr">
        <is>
          <t>Clothing</t>
        </is>
      </c>
      <c r="F46" t="inlineStr">
        <is>
          <t>Shoes</t>
        </is>
      </c>
      <c r="G46" s="17" t="n">
        <v>3</v>
      </c>
      <c r="H46" s="18" t="n">
        <v>3500</v>
      </c>
      <c r="I46" s="19" t="n">
        <v>0.1</v>
      </c>
      <c r="J46" t="inlineStr">
        <is>
          <t>Paid</t>
        </is>
      </c>
      <c r="K46" s="18" t="n">
        <v>9450</v>
      </c>
    </row>
    <row r="47">
      <c r="A47" t="inlineStr">
        <is>
          <t>ORD2048</t>
        </is>
      </c>
      <c r="B47" t="inlineStr">
        <is>
          <t>2026-02-19</t>
        </is>
      </c>
      <c r="C47" t="inlineStr">
        <is>
          <t>Sanya</t>
        </is>
      </c>
      <c r="D47" t="inlineStr">
        <is>
          <t>East</t>
        </is>
      </c>
      <c r="E47" t="inlineStr">
        <is>
          <t>Electronics</t>
        </is>
      </c>
      <c r="F47" t="inlineStr">
        <is>
          <t>Tablet</t>
        </is>
      </c>
      <c r="G47" s="17" t="n">
        <v>2</v>
      </c>
      <c r="H47" s="18" t="n">
        <v>22000</v>
      </c>
      <c r="I47" s="19" t="n">
        <v>0.15</v>
      </c>
      <c r="J47" t="inlineStr">
        <is>
          <t>Paid</t>
        </is>
      </c>
      <c r="K47" s="18" t="n">
        <v>37400</v>
      </c>
    </row>
    <row r="48">
      <c r="A48" t="inlineStr">
        <is>
          <t>ORD2049</t>
        </is>
      </c>
      <c r="B48" t="inlineStr">
        <is>
          <t>2026-02-20</t>
        </is>
      </c>
      <c r="C48" t="inlineStr">
        <is>
          <t>Aarav</t>
        </is>
      </c>
      <c r="D48" t="inlineStr">
        <is>
          <t>North</t>
        </is>
      </c>
      <c r="E48" t="inlineStr">
        <is>
          <t>Electronics</t>
        </is>
      </c>
      <c r="F48" t="inlineStr">
        <is>
          <t>Laptop</t>
        </is>
      </c>
      <c r="G48" s="17" t="n">
        <v>1</v>
      </c>
      <c r="H48" s="18" t="n">
        <v>55000</v>
      </c>
      <c r="I48" s="19" t="n">
        <v>0.1</v>
      </c>
      <c r="J48" t="inlineStr">
        <is>
          <t>Paid</t>
        </is>
      </c>
      <c r="K48" s="18" t="n">
        <v>49500</v>
      </c>
    </row>
    <row r="49">
      <c r="A49" t="inlineStr">
        <is>
          <t>ORD2050</t>
        </is>
      </c>
      <c r="B49" t="inlineStr">
        <is>
          <t>2026-02-21</t>
        </is>
      </c>
      <c r="C49" t="inlineStr">
        <is>
          <t>Diya</t>
        </is>
      </c>
      <c r="D49" t="inlineStr">
        <is>
          <t>South</t>
        </is>
      </c>
      <c r="E49" t="inlineStr">
        <is>
          <t>Clothing</t>
        </is>
      </c>
      <c r="F49" t="inlineStr">
        <is>
          <t>Jacket</t>
        </is>
      </c>
      <c r="G49" s="17" t="n">
        <v>2</v>
      </c>
      <c r="H49" s="18" t="n">
        <v>4200</v>
      </c>
      <c r="I49" s="19" t="n">
        <v>0.05</v>
      </c>
      <c r="J49" t="inlineStr">
        <is>
          <t>Paid</t>
        </is>
      </c>
      <c r="K49" s="18" t="n">
        <v>7980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6" t="inlineStr">
        <is>
          <t>Customer</t>
        </is>
      </c>
      <c r="B1" s="16" t="inlineStr">
        <is>
          <t>Region</t>
        </is>
      </c>
      <c r="C1" s="16" t="inlineStr">
        <is>
          <t>Total_Orders</t>
        </is>
      </c>
      <c r="D1" s="16" t="inlineStr">
        <is>
          <t>Total_Units</t>
        </is>
      </c>
      <c r="E1" s="16" t="inlineStr">
        <is>
          <t>Total_Revenue</t>
        </is>
      </c>
      <c r="F1" s="16" t="inlineStr">
        <is>
          <t>AOV</t>
        </is>
      </c>
      <c r="G1" s="16" t="inlineStr">
        <is>
          <t>Customer_Type</t>
        </is>
      </c>
    </row>
    <row r="2">
      <c r="A2" t="inlineStr">
        <is>
          <t>Aarav</t>
        </is>
      </c>
      <c r="B2" t="inlineStr">
        <is>
          <t>North</t>
        </is>
      </c>
      <c r="C2" s="17" t="n">
        <v>6</v>
      </c>
      <c r="D2" s="17" t="n">
        <v>11</v>
      </c>
      <c r="E2" s="18" t="n">
        <v>539000</v>
      </c>
      <c r="F2" s="18" t="n">
        <v>89833</v>
      </c>
      <c r="G2" t="inlineStr">
        <is>
          <t>Repeat Buyer</t>
        </is>
      </c>
    </row>
    <row r="3">
      <c r="A3" t="inlineStr">
        <is>
          <t>Isha</t>
        </is>
      </c>
      <c r="B3" t="inlineStr">
        <is>
          <t>South</t>
        </is>
      </c>
      <c r="C3" s="17" t="n">
        <v>6</v>
      </c>
      <c r="D3" s="17" t="n">
        <v>13</v>
      </c>
      <c r="E3" s="18" t="n">
        <v>333200</v>
      </c>
      <c r="F3" s="18" t="n">
        <v>55533</v>
      </c>
      <c r="G3" t="inlineStr">
        <is>
          <t>Repeat Buyer</t>
        </is>
      </c>
    </row>
    <row r="4">
      <c r="A4" t="inlineStr">
        <is>
          <t>Sanya</t>
        </is>
      </c>
      <c r="B4" t="inlineStr">
        <is>
          <t>East</t>
        </is>
      </c>
      <c r="C4" s="17" t="n">
        <v>6</v>
      </c>
      <c r="D4" s="17" t="n">
        <v>13</v>
      </c>
      <c r="E4" s="18" t="n">
        <v>249700</v>
      </c>
      <c r="F4" s="18" t="n">
        <v>41617</v>
      </c>
      <c r="G4" t="inlineStr">
        <is>
          <t>Repeat Buyer</t>
        </is>
      </c>
    </row>
    <row r="5">
      <c r="A5" t="inlineStr">
        <is>
          <t>Kabir</t>
        </is>
      </c>
      <c r="B5" t="inlineStr">
        <is>
          <t>North</t>
        </is>
      </c>
      <c r="C5" s="17" t="n">
        <v>6</v>
      </c>
      <c r="D5" s="17" t="n">
        <v>11</v>
      </c>
      <c r="E5" s="18" t="n">
        <v>83725</v>
      </c>
      <c r="F5" s="18" t="n">
        <v>13954</v>
      </c>
      <c r="G5" t="inlineStr">
        <is>
          <t>Repeat Buyer</t>
        </is>
      </c>
    </row>
    <row r="6">
      <c r="A6" t="inlineStr">
        <is>
          <t>Rohan</t>
        </is>
      </c>
      <c r="B6" t="inlineStr">
        <is>
          <t>West</t>
        </is>
      </c>
      <c r="C6" s="17" t="n">
        <v>6</v>
      </c>
      <c r="D6" s="17" t="n">
        <v>23</v>
      </c>
      <c r="E6" s="18" t="n">
        <v>69920</v>
      </c>
      <c r="F6" s="18" t="n">
        <v>11653</v>
      </c>
      <c r="G6" t="inlineStr">
        <is>
          <t>Repeat Buyer</t>
        </is>
      </c>
    </row>
    <row r="7">
      <c r="A7" t="inlineStr">
        <is>
          <t>Diya</t>
        </is>
      </c>
      <c r="B7" t="inlineStr">
        <is>
          <t>South</t>
        </is>
      </c>
      <c r="C7" s="17" t="n">
        <v>7</v>
      </c>
      <c r="D7" s="17" t="n">
        <v>17</v>
      </c>
      <c r="E7" s="18" t="n">
        <v>67410</v>
      </c>
      <c r="F7" s="18" t="n">
        <v>9630</v>
      </c>
      <c r="G7" t="inlineStr">
        <is>
          <t>Repeat Buyer</t>
        </is>
      </c>
    </row>
    <row r="8">
      <c r="A8" t="inlineStr">
        <is>
          <t>Arjun</t>
        </is>
      </c>
      <c r="B8" t="inlineStr">
        <is>
          <t>West</t>
        </is>
      </c>
      <c r="C8" s="17" t="n">
        <v>6</v>
      </c>
      <c r="D8" s="17" t="n">
        <v>19</v>
      </c>
      <c r="E8" s="18" t="n">
        <v>58450</v>
      </c>
      <c r="F8" s="18" t="n">
        <v>9742</v>
      </c>
      <c r="G8" t="inlineStr">
        <is>
          <t>Repeat Buyer</t>
        </is>
      </c>
    </row>
    <row r="9">
      <c r="A9" t="inlineStr">
        <is>
          <t>Meera</t>
        </is>
      </c>
      <c r="B9" t="inlineStr">
        <is>
          <t>East</t>
        </is>
      </c>
      <c r="C9" s="17" t="n">
        <v>5</v>
      </c>
      <c r="D9" s="17" t="n">
        <v>16</v>
      </c>
      <c r="E9" s="18" t="n">
        <v>37250</v>
      </c>
      <c r="F9" s="18" t="n">
        <v>7450</v>
      </c>
      <c r="G9" t="inlineStr">
        <is>
          <t>Repeat Buyer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45" customWidth="1" min="3" max="3"/>
  </cols>
  <sheetData>
    <row r="1">
      <c r="A1" s="1" t="inlineStr">
        <is>
          <t>DATA CLEANING AUDIT TRAIL (USER'S 50-ROW DATASET)</t>
        </is>
      </c>
    </row>
    <row r="3">
      <c r="A3" s="16" t="inlineStr">
        <is>
          <t>Audit Checkpoint</t>
        </is>
      </c>
      <c r="B3" s="16" t="inlineStr">
        <is>
          <t>Identified Anomaly</t>
        </is>
      </c>
      <c r="C3" s="16" t="inlineStr">
        <is>
          <t>Cleaning Action Applied</t>
        </is>
      </c>
    </row>
    <row r="4">
      <c r="A4" s="6" t="inlineStr">
        <is>
          <t>Initial Raw Transactions</t>
        </is>
      </c>
      <c r="B4" s="13" t="inlineStr">
        <is>
          <t>50</t>
        </is>
      </c>
      <c r="C4" s="13" t="inlineStr">
        <is>
          <t>Loaded raw dataset provided by user</t>
        </is>
      </c>
    </row>
    <row r="5">
      <c r="A5" s="6" t="inlineStr">
        <is>
          <t>ORD2041 (Negative Quantity)</t>
        </is>
      </c>
      <c r="B5" s="13" t="inlineStr">
        <is>
          <t>Quantity = -1</t>
        </is>
      </c>
      <c r="C5" s="13" t="inlineStr">
        <is>
          <t>Filtered out invalid order (Quantity &lt;= 0)</t>
        </is>
      </c>
    </row>
    <row r="6">
      <c r="A6" s="6" t="inlineStr">
        <is>
          <t>ORD2044 (Missing Quantity)</t>
        </is>
      </c>
      <c r="B6" s="13" t="inlineStr">
        <is>
          <t>Quantity = Blank</t>
        </is>
      </c>
      <c r="C6" s="13" t="inlineStr">
        <is>
          <t>Filtered out incomplete order (Blank Quantity)</t>
        </is>
      </c>
    </row>
    <row r="7">
      <c r="A7" s="6" t="inlineStr">
        <is>
          <t>ORD2049 (Region Casing)</t>
        </is>
      </c>
      <c r="B7" s="13" t="inlineStr">
        <is>
          <t>Region = 'north'</t>
        </is>
      </c>
      <c r="C7" s="13" t="inlineStr">
        <is>
          <t>Standardized to 'North' using PROPER(TRIM())</t>
        </is>
      </c>
    </row>
    <row r="8">
      <c r="A8" s="6" t="inlineStr">
        <is>
          <t>ORD2050 (Payment Status Casing)</t>
        </is>
      </c>
      <c r="B8" s="13" t="inlineStr">
        <is>
          <t>Payment_Status = 'paid'</t>
        </is>
      </c>
      <c r="C8" s="13" t="inlineStr">
        <is>
          <t>Standardized to 'Paid' using PROPER(TRIM())</t>
        </is>
      </c>
    </row>
    <row r="9">
      <c r="A9" s="6" t="inlineStr">
        <is>
          <t>Discount Normalization</t>
        </is>
      </c>
      <c r="B9" s="13" t="inlineStr">
        <is>
          <t>10%, 5%, 0% etc.</t>
        </is>
      </c>
      <c r="C9" s="13" t="inlineStr">
        <is>
          <t>Converted percentage strings into decimals (0.10, 0.05)</t>
        </is>
      </c>
    </row>
    <row r="10">
      <c r="A10" s="6" t="inlineStr">
        <is>
          <t>Date Normalization</t>
        </is>
      </c>
      <c r="B10" s="13" t="inlineStr">
        <is>
          <t>02-Jan-26</t>
        </is>
      </c>
      <c r="C10" s="13" t="inlineStr">
        <is>
          <t>Converted DD-Mon-YY into standard ISO YYYY-MM-DD</t>
        </is>
      </c>
    </row>
    <row r="11">
      <c r="A11" s="6" t="inlineStr">
        <is>
          <t>Revenue Calculation</t>
        </is>
      </c>
      <c r="B11" s="13" t="inlineStr">
        <is>
          <t>Formula Applied</t>
        </is>
      </c>
      <c r="C11" s="13" t="inlineStr">
        <is>
          <t>Revenue = Quantity * Unit_Price * (1 - Discount)</t>
        </is>
      </c>
    </row>
    <row r="12">
      <c r="A12" s="6" t="inlineStr">
        <is>
          <t>Final Cleaned Records</t>
        </is>
      </c>
      <c r="B12" s="13" t="inlineStr">
        <is>
          <t>48 Orders</t>
        </is>
      </c>
      <c r="C12" s="13" t="inlineStr">
        <is>
          <t>Validated clean dataset ready for SQL &amp; Tableau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2026-09-09T18:32:19Z</dcterms:created>
  <dcterms:modified xsi:type="dcterms:W3CDTF">2026-09-09T18:32:19Z</dcterms:modified>
</cp:coreProperties>
</file>